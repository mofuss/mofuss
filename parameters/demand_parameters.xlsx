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hil\Documents\MoFuSS_FAO_localhost\ken_bau_1km_nv1\LULCC\DownloadedDatasets\SourceDataGlobal\"/>
    </mc:Choice>
  </mc:AlternateContent>
  <xr:revisionPtr revIDLastSave="0" documentId="13_ncr:1_{AAAA139A-6D53-4582-91E0-45DA5637D2EF}" xr6:coauthVersionLast="47" xr6:coauthVersionMax="47" xr10:uidLastSave="{00000000-0000-0000-0000-000000000000}"/>
  <bookViews>
    <workbookView xWindow="-108" yWindow="-108" windowWidth="23256" windowHeight="12576" xr2:uid="{119154BE-EFD1-4249-B324-41D845CFCB02}"/>
  </bookViews>
  <sheets>
    <sheet name="share" sheetId="1" r:id="rId1"/>
    <sheet name="intensity" sheetId="2" r:id="rId2"/>
  </sheet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B2" i="2" s="1"/>
  <c r="B3" i="2"/>
  <c r="H3" i="2"/>
  <c r="H4" i="2"/>
  <c r="B4" i="2" s="1"/>
  <c r="H5" i="2"/>
  <c r="H6" i="2"/>
  <c r="B6" i="2" s="1"/>
  <c r="H7" i="2"/>
  <c r="B7" i="2" s="1"/>
</calcChain>
</file>

<file path=xl/sharedStrings.xml><?xml version="1.0" encoding="utf-8"?>
<sst xmlns="http://schemas.openxmlformats.org/spreadsheetml/2006/main" count="72" uniqueCount="30">
  <si>
    <t>area</t>
  </si>
  <si>
    <t>fuel</t>
  </si>
  <si>
    <t>year</t>
  </si>
  <si>
    <t>share_anchor</t>
  </si>
  <si>
    <t>Rural</t>
  </si>
  <si>
    <t>Urban</t>
  </si>
  <si>
    <t>Charcoal</t>
  </si>
  <si>
    <t>WHO anchors</t>
  </si>
  <si>
    <t>DGEHM 1 anchors</t>
  </si>
  <si>
    <t>Coal</t>
  </si>
  <si>
    <t>Kerosene</t>
  </si>
  <si>
    <t>Gas</t>
  </si>
  <si>
    <t>Electricity</t>
  </si>
  <si>
    <t>cons_pc</t>
  </si>
  <si>
    <t>ton/cap-yr</t>
  </si>
  <si>
    <t>per_capita_consumption</t>
  </si>
  <si>
    <t>observations</t>
  </si>
  <si>
    <t>It will be converted to wood equivalent in 2b_scen_genB_v1.R and back in 2c_demand_tables_v2.R</t>
  </si>
  <si>
    <t>Fuelwood</t>
  </si>
  <si>
    <t>calorific_values</t>
  </si>
  <si>
    <t>MJ/kg</t>
  </si>
  <si>
    <t>MJ/kWh</t>
  </si>
  <si>
    <t>calorific_values_units</t>
  </si>
  <si>
    <t>stove_efficiencies_perc</t>
  </si>
  <si>
    <t>new_cons_pc</t>
  </si>
  <si>
    <t>refs</t>
  </si>
  <si>
    <t>Floess et al</t>
  </si>
  <si>
    <t>UNFCCC default</t>
  </si>
  <si>
    <t>Old default</t>
  </si>
  <si>
    <t>MWh/cap-yr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</si>
</sst>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2" borderId="0" xfId="0" applyFill="1"/>
    <xf numFmtId="2" fontId="0" fillId="2" borderId="0" xfId="0" applyNumberFormat="1" applyFill="1"/>
    <xf numFmtId="0" fontId="0" fillId="4" borderId="0" xfId="0" applyFill="1"/>
    <xf numFmtId="2" fontId="0" fillId="4" borderId="0" xfId="0" applyNumberFormat="1" applyFill="1"/>
    <xf numFmtId="0" fontId="0" fillId="3" borderId="1" xfId="0" applyFill="1" applyBorder="1"/>
    <xf numFmtId="0" fontId="0" fillId="3" borderId="2" xfId="0" applyFill="1" applyBorder="1"/>
    <xf numFmtId="2" fontId="0" fillId="3" borderId="2" xfId="0" applyNumberFormat="1" applyFill="1" applyBorder="1"/>
    <xf numFmtId="0" fontId="0" fillId="2" borderId="3" xfId="0" applyFill="1" applyBorder="1"/>
    <xf numFmtId="0" fontId="0" fillId="4" borderId="3" xfId="0" applyFill="1" applyBorder="1"/>
    <xf numFmtId="0" fontId="0" fillId="5" borderId="4" xfId="0" applyFill="1" applyBorder="1"/>
    <xf numFmtId="0" fontId="0" fillId="5" borderId="5" xfId="0" applyFill="1" applyBorder="1"/>
    <xf numFmtId="2" fontId="0" fillId="5" borderId="5" xfId="0" applyNumberFormat="1" applyFill="1" applyBorder="1"/>
    <xf numFmtId="0" fontId="0" fillId="0" borderId="6" xfId="0" applyBorder="1"/>
    <xf numFmtId="2" fontId="0" fillId="0" borderId="0" xfId="0" applyNumberFormat="1"/>
    <xf numFmtId="2" fontId="0" fillId="0" borderId="6" xfId="0" applyNumberFormat="1" applyBorder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F7A2F-F16F-4C08-832C-E17FC87EC28B}">
  <dimension ref="A1:F17"/>
  <sheetViews>
    <sheetView tabSelected="1" workbookViewId="0">
      <selection activeCell="D17" sqref="D17"/>
    </sheetView>
  </sheetViews>
  <sheetFormatPr baseColWidth="10" defaultColWidth="11.77734375" defaultRowHeight="14.4" x14ac:dyDescent="0.3"/>
  <cols>
    <col min="4" max="6" width="15.33203125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t="s">
        <v>7</v>
      </c>
      <c r="F1" t="s">
        <v>8</v>
      </c>
    </row>
    <row r="2" spans="1:6" x14ac:dyDescent="0.3">
      <c r="A2" s="6" t="s">
        <v>4</v>
      </c>
      <c r="B2" s="7" t="s">
        <v>18</v>
      </c>
      <c r="C2" s="7">
        <v>1990</v>
      </c>
      <c r="D2" s="8">
        <v>0.83971044467425004</v>
      </c>
      <c r="E2" s="7">
        <v>0.83971044467425004</v>
      </c>
      <c r="F2" s="8">
        <v>0.83971044467425004</v>
      </c>
    </row>
    <row r="3" spans="1:6" x14ac:dyDescent="0.3">
      <c r="A3" s="9" t="s">
        <v>5</v>
      </c>
      <c r="B3" s="2" t="s">
        <v>18</v>
      </c>
      <c r="C3" s="2">
        <v>1990</v>
      </c>
      <c r="D3" s="3">
        <v>0.32521186440678002</v>
      </c>
      <c r="E3" s="2">
        <v>0.32521186440678002</v>
      </c>
      <c r="F3" s="3">
        <v>0.32521186440678002</v>
      </c>
    </row>
    <row r="4" spans="1:6" x14ac:dyDescent="0.3">
      <c r="A4" s="10" t="s">
        <v>4</v>
      </c>
      <c r="B4" s="4" t="s">
        <v>6</v>
      </c>
      <c r="C4" s="4">
        <v>1990</v>
      </c>
      <c r="D4" s="5">
        <v>5.1706308169596699E-3</v>
      </c>
      <c r="E4" s="4">
        <v>5.1706308169596699E-3</v>
      </c>
      <c r="F4" s="5">
        <v>5.1706308169596699E-3</v>
      </c>
    </row>
    <row r="5" spans="1:6" ht="15" thickBot="1" x14ac:dyDescent="0.35">
      <c r="A5" s="11" t="s">
        <v>5</v>
      </c>
      <c r="B5" s="12" t="s">
        <v>6</v>
      </c>
      <c r="C5" s="12">
        <v>1990</v>
      </c>
      <c r="D5" s="13">
        <v>1.0593220338983101E-3</v>
      </c>
      <c r="E5" s="12">
        <v>1.0593220338983101E-3</v>
      </c>
      <c r="F5" s="13">
        <v>1.0593220338983101E-3</v>
      </c>
    </row>
    <row r="6" spans="1:6" x14ac:dyDescent="0.3">
      <c r="A6" s="6" t="s">
        <v>4</v>
      </c>
      <c r="B6" s="7" t="s">
        <v>18</v>
      </c>
      <c r="C6" s="7">
        <v>2012</v>
      </c>
      <c r="D6" s="8"/>
      <c r="E6" s="7"/>
      <c r="F6" s="8">
        <v>0.67275000000000007</v>
      </c>
    </row>
    <row r="7" spans="1:6" x14ac:dyDescent="0.3">
      <c r="A7" s="9" t="s">
        <v>5</v>
      </c>
      <c r="B7" s="2" t="s">
        <v>18</v>
      </c>
      <c r="C7" s="2">
        <v>2012</v>
      </c>
      <c r="D7" s="3"/>
      <c r="E7" s="2"/>
      <c r="F7" s="3">
        <v>0.252</v>
      </c>
    </row>
    <row r="8" spans="1:6" x14ac:dyDescent="0.3">
      <c r="A8" s="10" t="s">
        <v>4</v>
      </c>
      <c r="B8" s="4" t="s">
        <v>6</v>
      </c>
      <c r="C8" s="4">
        <v>2012</v>
      </c>
      <c r="D8" s="5"/>
      <c r="E8" s="4"/>
      <c r="F8" s="5">
        <v>9.1000000000000004E-3</v>
      </c>
    </row>
    <row r="9" spans="1:6" ht="15" thickBot="1" x14ac:dyDescent="0.35">
      <c r="A9" s="11" t="s">
        <v>5</v>
      </c>
      <c r="B9" s="12" t="s">
        <v>6</v>
      </c>
      <c r="C9" s="12">
        <v>2012</v>
      </c>
      <c r="D9" s="13"/>
      <c r="E9" s="12"/>
      <c r="F9" s="13">
        <v>6.2350000000000003E-2</v>
      </c>
    </row>
    <row r="10" spans="1:6" x14ac:dyDescent="0.3">
      <c r="A10" s="6" t="s">
        <v>4</v>
      </c>
      <c r="B10" s="7" t="s">
        <v>18</v>
      </c>
      <c r="C10" s="7">
        <v>2020</v>
      </c>
      <c r="D10" s="8"/>
      <c r="E10" s="7"/>
      <c r="F10" s="8"/>
    </row>
    <row r="11" spans="1:6" x14ac:dyDescent="0.3">
      <c r="A11" s="9" t="s">
        <v>5</v>
      </c>
      <c r="B11" s="2" t="s">
        <v>18</v>
      </c>
      <c r="C11" s="2">
        <v>2020</v>
      </c>
      <c r="D11" s="3"/>
      <c r="E11" s="2"/>
      <c r="F11" s="3"/>
    </row>
    <row r="12" spans="1:6" x14ac:dyDescent="0.3">
      <c r="A12" s="10" t="s">
        <v>4</v>
      </c>
      <c r="B12" s="4" t="s">
        <v>6</v>
      </c>
      <c r="C12" s="4">
        <v>2020</v>
      </c>
      <c r="D12" s="5"/>
      <c r="E12" s="4"/>
      <c r="F12" s="5"/>
    </row>
    <row r="13" spans="1:6" ht="15" thickBot="1" x14ac:dyDescent="0.35">
      <c r="A13" s="11" t="s">
        <v>5</v>
      </c>
      <c r="B13" s="12" t="s">
        <v>6</v>
      </c>
      <c r="C13" s="12">
        <v>2020</v>
      </c>
      <c r="D13" s="13"/>
      <c r="E13" s="12"/>
      <c r="F13" s="13"/>
    </row>
    <row r="14" spans="1:6" x14ac:dyDescent="0.3">
      <c r="A14" s="6" t="s">
        <v>4</v>
      </c>
      <c r="B14" s="7" t="s">
        <v>18</v>
      </c>
      <c r="C14" s="7">
        <v>2050</v>
      </c>
      <c r="D14" s="7">
        <v>0.5</v>
      </c>
      <c r="E14" s="7">
        <v>0.3</v>
      </c>
      <c r="F14" s="8"/>
    </row>
    <row r="15" spans="1:6" x14ac:dyDescent="0.3">
      <c r="A15" s="9" t="s">
        <v>5</v>
      </c>
      <c r="B15" s="2" t="s">
        <v>18</v>
      </c>
      <c r="C15" s="2">
        <v>2050</v>
      </c>
      <c r="D15" s="2">
        <v>0.01</v>
      </c>
      <c r="E15" s="2">
        <v>0.2</v>
      </c>
      <c r="F15" s="3"/>
    </row>
    <row r="16" spans="1:6" x14ac:dyDescent="0.3">
      <c r="A16" s="10" t="s">
        <v>4</v>
      </c>
      <c r="B16" s="4" t="s">
        <v>6</v>
      </c>
      <c r="C16" s="4">
        <v>2050</v>
      </c>
      <c r="D16" s="4">
        <v>0.4</v>
      </c>
      <c r="E16" s="4">
        <v>0.1</v>
      </c>
      <c r="F16" s="5"/>
    </row>
    <row r="17" spans="1:6" ht="15" thickBot="1" x14ac:dyDescent="0.35">
      <c r="A17" s="11" t="s">
        <v>5</v>
      </c>
      <c r="B17" s="12" t="s">
        <v>6</v>
      </c>
      <c r="C17" s="12">
        <v>2050</v>
      </c>
      <c r="D17" s="12">
        <v>0.8</v>
      </c>
      <c r="E17" s="12">
        <v>0.1</v>
      </c>
      <c r="F17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DB57-2506-44CA-9B52-7C8F5D630F8D}">
  <dimension ref="A1:I7"/>
  <sheetViews>
    <sheetView workbookViewId="0">
      <selection activeCell="A6" sqref="A6"/>
    </sheetView>
  </sheetViews>
  <sheetFormatPr baseColWidth="10" defaultColWidth="12.5546875" defaultRowHeight="14.4" x14ac:dyDescent="0.3"/>
  <cols>
    <col min="1" max="8" width="12.5546875" customWidth="1"/>
    <col min="9" max="9" width="34.88671875" customWidth="1"/>
  </cols>
  <sheetData>
    <row r="1" spans="1:9" s="17" customFormat="1" ht="43.2" x14ac:dyDescent="0.3">
      <c r="A1" s="19" t="s">
        <v>1</v>
      </c>
      <c r="B1" s="19" t="s">
        <v>13</v>
      </c>
      <c r="C1" s="19" t="s">
        <v>15</v>
      </c>
      <c r="D1" s="19" t="s">
        <v>19</v>
      </c>
      <c r="E1" s="19" t="s">
        <v>22</v>
      </c>
      <c r="F1" s="19" t="s">
        <v>23</v>
      </c>
      <c r="G1" s="19" t="s">
        <v>25</v>
      </c>
      <c r="H1" s="19" t="s">
        <v>24</v>
      </c>
      <c r="I1" s="19" t="s">
        <v>16</v>
      </c>
    </row>
    <row r="2" spans="1:9" x14ac:dyDescent="0.3">
      <c r="A2" t="s">
        <v>10</v>
      </c>
      <c r="B2" s="15">
        <f>H2</f>
        <v>0.13760514596734291</v>
      </c>
      <c r="C2" t="s">
        <v>14</v>
      </c>
      <c r="D2">
        <v>43</v>
      </c>
      <c r="E2" t="s">
        <v>20</v>
      </c>
      <c r="F2">
        <v>0.47</v>
      </c>
      <c r="G2" t="s">
        <v>26</v>
      </c>
      <c r="H2" s="15">
        <f>B$5*(D$5*F$5)/(D2*F2)</f>
        <v>0.13760514596734291</v>
      </c>
    </row>
    <row r="3" spans="1:9" x14ac:dyDescent="0.3">
      <c r="A3" t="s">
        <v>11</v>
      </c>
      <c r="B3" s="15">
        <f t="shared" ref="B3:B7" si="0">H3</f>
        <v>0.12359999999999999</v>
      </c>
      <c r="C3" t="s">
        <v>14</v>
      </c>
      <c r="D3">
        <v>45</v>
      </c>
      <c r="E3" t="s">
        <v>20</v>
      </c>
      <c r="F3">
        <v>0.5</v>
      </c>
      <c r="G3" t="s">
        <v>26</v>
      </c>
      <c r="H3" s="15">
        <f>B$5*(D$5*F$5)/(D3*F3)</f>
        <v>0.12359999999999999</v>
      </c>
    </row>
    <row r="4" spans="1:9" x14ac:dyDescent="0.3">
      <c r="A4" t="s">
        <v>12</v>
      </c>
      <c r="B4" s="15">
        <f>H4/1000</f>
        <v>1.1035714285714284</v>
      </c>
      <c r="C4" t="s">
        <v>29</v>
      </c>
      <c r="D4">
        <v>3.6</v>
      </c>
      <c r="E4" t="s">
        <v>21</v>
      </c>
      <c r="F4">
        <v>0.7</v>
      </c>
      <c r="G4" t="s">
        <v>26</v>
      </c>
      <c r="H4" s="15">
        <f>B$5*(D$5*F$5)/(D4*F4)*1000</f>
        <v>1103.5714285714284</v>
      </c>
    </row>
    <row r="5" spans="1:9" x14ac:dyDescent="0.3">
      <c r="A5" t="s">
        <v>18</v>
      </c>
      <c r="B5" s="15">
        <v>1.03</v>
      </c>
      <c r="C5" t="s">
        <v>14</v>
      </c>
      <c r="D5">
        <v>18</v>
      </c>
      <c r="E5" t="s">
        <v>20</v>
      </c>
      <c r="F5">
        <v>0.15</v>
      </c>
      <c r="G5" t="s">
        <v>27</v>
      </c>
      <c r="H5" s="15">
        <f t="shared" ref="H5:H7" si="1">B$5*(D$5*F$5)/(D5*F5)</f>
        <v>1.03</v>
      </c>
    </row>
    <row r="6" spans="1:9" ht="48" customHeight="1" x14ac:dyDescent="0.3">
      <c r="A6" t="s">
        <v>6</v>
      </c>
      <c r="B6" s="15">
        <f t="shared" si="0"/>
        <v>0.41199999999999998</v>
      </c>
      <c r="C6" t="s">
        <v>14</v>
      </c>
      <c r="D6">
        <v>27</v>
      </c>
      <c r="E6" t="s">
        <v>20</v>
      </c>
      <c r="F6">
        <v>0.25</v>
      </c>
      <c r="G6" t="s">
        <v>27</v>
      </c>
      <c r="H6" s="15">
        <f t="shared" si="1"/>
        <v>0.41199999999999998</v>
      </c>
      <c r="I6" s="18" t="s">
        <v>17</v>
      </c>
    </row>
    <row r="7" spans="1:9" x14ac:dyDescent="0.3">
      <c r="A7" s="14" t="s">
        <v>9</v>
      </c>
      <c r="B7" s="16">
        <f t="shared" si="0"/>
        <v>0.79005681818181805</v>
      </c>
      <c r="C7" s="14" t="s">
        <v>14</v>
      </c>
      <c r="D7" s="14">
        <v>22</v>
      </c>
      <c r="E7" s="14" t="s">
        <v>20</v>
      </c>
      <c r="F7" s="14">
        <v>0.16</v>
      </c>
      <c r="G7" s="14" t="s">
        <v>28</v>
      </c>
      <c r="H7" s="16">
        <f t="shared" si="1"/>
        <v>0.79005681818181805</v>
      </c>
      <c r="I7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share</vt:lpstr>
      <vt:lpstr>intensity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GHILARDI</dc:creator>
  <cp:lastModifiedBy>ADRIAN GHILARDI</cp:lastModifiedBy>
  <dcterms:created xsi:type="dcterms:W3CDTF">2025-11-22T10:02:52Z</dcterms:created>
  <dcterms:modified xsi:type="dcterms:W3CDTF">2026-03-06T09:35:16Z</dcterms:modified>
</cp:coreProperties>
</file>