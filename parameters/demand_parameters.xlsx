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ghil\Documents\MoFuSS_FAO_localhost\slv_curso_ics100m\LULCC\DownloadedDatasets\SourceDataEl Salvador\"/>
    </mc:Choice>
  </mc:AlternateContent>
  <xr:revisionPtr revIDLastSave="0" documentId="13_ncr:1_{CE48C02A-3AC5-4E83-9F09-42BDEAC6F7FC}" xr6:coauthVersionLast="47" xr6:coauthVersionMax="47" xr10:uidLastSave="{00000000-0000-0000-0000-000000000000}"/>
  <bookViews>
    <workbookView xWindow="-108" yWindow="-108" windowWidth="23256" windowHeight="12576" xr2:uid="{119154BE-EFD1-4249-B324-41D845CFCB02}"/>
  </bookViews>
  <sheets>
    <sheet name="share" sheetId="1" r:id="rId1"/>
    <sheet name="intensity" sheetId="2" r:id="rId2"/>
    <sheet name="efchrati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F5" i="2" l="1"/>
  <c r="E5" i="2"/>
</calcChain>
</file>

<file path=xl/sharedStrings.xml><?xml version="1.0" encoding="utf-8"?>
<sst xmlns="http://schemas.openxmlformats.org/spreadsheetml/2006/main" count="60" uniqueCount="24">
  <si>
    <t>area</t>
  </si>
  <si>
    <t>fuel</t>
  </si>
  <si>
    <t>year</t>
  </si>
  <si>
    <t>share_anchor</t>
  </si>
  <si>
    <t>Rural</t>
  </si>
  <si>
    <t>Urban</t>
  </si>
  <si>
    <t>Charcoal</t>
  </si>
  <si>
    <t>WHO anchors</t>
  </si>
  <si>
    <t>DGEHM 1 anchors</t>
  </si>
  <si>
    <t>DGEHM 2 anchors</t>
  </si>
  <si>
    <t>Coal</t>
  </si>
  <si>
    <t>Kerosene</t>
  </si>
  <si>
    <t>Gas</t>
  </si>
  <si>
    <t>Electricity</t>
  </si>
  <si>
    <t>cons_pc</t>
  </si>
  <si>
    <t>ton/cap-yr</t>
  </si>
  <si>
    <t>MWh/cap-yr</t>
  </si>
  <si>
    <t>per_capita_consumption</t>
  </si>
  <si>
    <t>efchratio</t>
  </si>
  <si>
    <t>observations</t>
  </si>
  <si>
    <t>It will be converted to wood equivalent in 2b_scen_genB_v1.R and back in 2c_demand_tables_v2.R</t>
  </si>
  <si>
    <t>kg leña seca /hab / dia</t>
  </si>
  <si>
    <t>Urbano</t>
  </si>
  <si>
    <t>Fuelwood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</si>
</sst>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2" borderId="0" xfId="0" applyFill="1"/>
    <xf numFmtId="2" fontId="0" fillId="2" borderId="0" xfId="0" applyNumberFormat="1" applyFill="1"/>
    <xf numFmtId="0" fontId="0" fillId="4" borderId="0" xfId="0" applyFill="1"/>
    <xf numFmtId="2" fontId="0" fillId="4" borderId="0" xfId="0" applyNumberFormat="1" applyFill="1"/>
    <xf numFmtId="0" fontId="0" fillId="3" borderId="1" xfId="0" applyFill="1" applyBorder="1"/>
    <xf numFmtId="0" fontId="0" fillId="3" borderId="2" xfId="0" applyFill="1" applyBorder="1"/>
    <xf numFmtId="2" fontId="0" fillId="3" borderId="2" xfId="0" applyNumberFormat="1" applyFill="1" applyBorder="1"/>
    <xf numFmtId="0" fontId="0" fillId="3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4" borderId="4" xfId="0" applyFill="1" applyBorder="1"/>
    <xf numFmtId="0" fontId="0" fillId="4" borderId="5" xfId="0" applyFill="1" applyBorder="1"/>
    <xf numFmtId="0" fontId="0" fillId="5" borderId="6" xfId="0" applyFill="1" applyBorder="1"/>
    <xf numFmtId="0" fontId="0" fillId="5" borderId="7" xfId="0" applyFill="1" applyBorder="1"/>
    <xf numFmtId="2" fontId="0" fillId="5" borderId="7" xfId="0" applyNumberFormat="1" applyFill="1" applyBorder="1"/>
    <xf numFmtId="0" fontId="0" fillId="5" borderId="8" xfId="0" applyFill="1" applyBorder="1"/>
    <xf numFmtId="0" fontId="0" fillId="0" borderId="9" xfId="0" applyBorder="1"/>
    <xf numFmtId="0" fontId="0" fillId="0" borderId="10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F7A2F-F16F-4C08-832C-E17FC87EC28B}">
  <dimension ref="A1:G17"/>
  <sheetViews>
    <sheetView tabSelected="1" workbookViewId="0">
      <selection activeCell="D18" sqref="D18"/>
    </sheetView>
  </sheetViews>
  <sheetFormatPr defaultColWidth="11.77734375" defaultRowHeight="14.4" x14ac:dyDescent="0.3"/>
  <cols>
    <col min="4" max="7" width="15.33203125" customWidth="1"/>
  </cols>
  <sheetData>
    <row r="1" spans="1:7" ht="1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t="s">
        <v>7</v>
      </c>
      <c r="F1" t="s">
        <v>8</v>
      </c>
      <c r="G1" t="s">
        <v>9</v>
      </c>
    </row>
    <row r="2" spans="1:7" x14ac:dyDescent="0.3">
      <c r="A2" s="6" t="s">
        <v>4</v>
      </c>
      <c r="B2" s="7" t="s">
        <v>23</v>
      </c>
      <c r="C2" s="7">
        <v>1992</v>
      </c>
      <c r="D2" s="8">
        <v>0.1</v>
      </c>
      <c r="E2" s="7">
        <v>0.83971044467425004</v>
      </c>
      <c r="F2" s="8">
        <v>0.9</v>
      </c>
      <c r="G2" s="9"/>
    </row>
    <row r="3" spans="1:7" x14ac:dyDescent="0.3">
      <c r="A3" s="10" t="s">
        <v>5</v>
      </c>
      <c r="B3" s="2" t="s">
        <v>23</v>
      </c>
      <c r="C3" s="2">
        <v>1992</v>
      </c>
      <c r="D3" s="3">
        <v>0.1</v>
      </c>
      <c r="E3" s="2">
        <v>0.32521186440678002</v>
      </c>
      <c r="F3" s="3">
        <v>0.3</v>
      </c>
      <c r="G3" s="11"/>
    </row>
    <row r="4" spans="1:7" x14ac:dyDescent="0.3">
      <c r="A4" s="12" t="s">
        <v>4</v>
      </c>
      <c r="B4" s="4" t="s">
        <v>6</v>
      </c>
      <c r="C4" s="4">
        <v>1992</v>
      </c>
      <c r="D4" s="5">
        <v>0</v>
      </c>
      <c r="E4" s="4">
        <v>5.1706308169596699E-3</v>
      </c>
      <c r="F4" s="5">
        <v>0.05</v>
      </c>
      <c r="G4" s="13"/>
    </row>
    <row r="5" spans="1:7" ht="15" thickBot="1" x14ac:dyDescent="0.35">
      <c r="A5" s="14" t="s">
        <v>5</v>
      </c>
      <c r="B5" s="15" t="s">
        <v>6</v>
      </c>
      <c r="C5" s="15">
        <v>1992</v>
      </c>
      <c r="D5" s="16">
        <v>0</v>
      </c>
      <c r="E5" s="15">
        <v>1.0593220338983101E-3</v>
      </c>
      <c r="F5" s="16">
        <v>0.6</v>
      </c>
      <c r="G5" s="17"/>
    </row>
    <row r="6" spans="1:7" x14ac:dyDescent="0.3">
      <c r="A6" s="6" t="s">
        <v>4</v>
      </c>
      <c r="B6" s="7" t="s">
        <v>23</v>
      </c>
      <c r="C6" s="7">
        <v>2012</v>
      </c>
      <c r="D6" s="8">
        <v>0.4</v>
      </c>
      <c r="E6" s="7"/>
      <c r="F6" s="8">
        <v>0.8</v>
      </c>
      <c r="G6" s="9"/>
    </row>
    <row r="7" spans="1:7" x14ac:dyDescent="0.3">
      <c r="A7" s="10" t="s">
        <v>5</v>
      </c>
      <c r="B7" s="2" t="s">
        <v>23</v>
      </c>
      <c r="C7" s="2">
        <v>2012</v>
      </c>
      <c r="D7" s="3">
        <v>0.4</v>
      </c>
      <c r="E7" s="2"/>
      <c r="F7" s="3">
        <v>0.3</v>
      </c>
      <c r="G7" s="11"/>
    </row>
    <row r="8" spans="1:7" x14ac:dyDescent="0.3">
      <c r="A8" s="12" t="s">
        <v>4</v>
      </c>
      <c r="B8" s="4" t="s">
        <v>6</v>
      </c>
      <c r="C8" s="4">
        <v>2012</v>
      </c>
      <c r="D8" s="5">
        <v>0</v>
      </c>
      <c r="E8" s="4"/>
      <c r="F8" s="5">
        <v>0.1</v>
      </c>
      <c r="G8" s="13"/>
    </row>
    <row r="9" spans="1:7" ht="15" thickBot="1" x14ac:dyDescent="0.35">
      <c r="A9" s="14" t="s">
        <v>5</v>
      </c>
      <c r="B9" s="15" t="s">
        <v>6</v>
      </c>
      <c r="C9" s="15">
        <v>2012</v>
      </c>
      <c r="D9" s="16">
        <v>0</v>
      </c>
      <c r="E9" s="15"/>
      <c r="F9" s="16">
        <v>0.6</v>
      </c>
      <c r="G9" s="17"/>
    </row>
    <row r="10" spans="1:7" x14ac:dyDescent="0.3">
      <c r="A10" s="6" t="s">
        <v>4</v>
      </c>
      <c r="B10" s="7" t="s">
        <v>23</v>
      </c>
      <c r="C10" s="7">
        <v>2020</v>
      </c>
      <c r="D10" s="8"/>
      <c r="E10" s="7"/>
      <c r="F10" s="8">
        <v>0.5</v>
      </c>
      <c r="G10" s="9"/>
    </row>
    <row r="11" spans="1:7" x14ac:dyDescent="0.3">
      <c r="A11" s="10" t="s">
        <v>5</v>
      </c>
      <c r="B11" s="2" t="s">
        <v>23</v>
      </c>
      <c r="C11" s="2">
        <v>2020</v>
      </c>
      <c r="D11" s="3"/>
      <c r="E11" s="2"/>
      <c r="F11" s="3">
        <v>0.3</v>
      </c>
      <c r="G11" s="11"/>
    </row>
    <row r="12" spans="1:7" x14ac:dyDescent="0.3">
      <c r="A12" s="12" t="s">
        <v>4</v>
      </c>
      <c r="B12" s="4" t="s">
        <v>6</v>
      </c>
      <c r="C12" s="4">
        <v>2020</v>
      </c>
      <c r="D12" s="5"/>
      <c r="E12" s="4"/>
      <c r="F12" s="5">
        <v>0.1</v>
      </c>
      <c r="G12" s="13"/>
    </row>
    <row r="13" spans="1:7" ht="15" thickBot="1" x14ac:dyDescent="0.35">
      <c r="A13" s="14" t="s">
        <v>5</v>
      </c>
      <c r="B13" s="15" t="s">
        <v>6</v>
      </c>
      <c r="C13" s="15">
        <v>2020</v>
      </c>
      <c r="D13" s="16"/>
      <c r="E13" s="15"/>
      <c r="F13" s="16">
        <v>0.5</v>
      </c>
      <c r="G13" s="17"/>
    </row>
    <row r="14" spans="1:7" x14ac:dyDescent="0.3">
      <c r="A14" s="6" t="s">
        <v>4</v>
      </c>
      <c r="B14" s="7" t="s">
        <v>23</v>
      </c>
      <c r="C14" s="7">
        <v>2050</v>
      </c>
      <c r="D14" s="8">
        <v>0.2</v>
      </c>
      <c r="E14" s="7">
        <v>0</v>
      </c>
      <c r="F14" s="8">
        <v>0.2</v>
      </c>
      <c r="G14" s="9"/>
    </row>
    <row r="15" spans="1:7" x14ac:dyDescent="0.3">
      <c r="A15" s="10" t="s">
        <v>5</v>
      </c>
      <c r="B15" s="2" t="s">
        <v>23</v>
      </c>
      <c r="C15" s="2">
        <v>2050</v>
      </c>
      <c r="D15" s="3">
        <v>0.3</v>
      </c>
      <c r="E15" s="2">
        <v>4.4101433296582096E-3</v>
      </c>
      <c r="F15" s="3">
        <v>0.3</v>
      </c>
      <c r="G15" s="11"/>
    </row>
    <row r="16" spans="1:7" x14ac:dyDescent="0.3">
      <c r="A16" s="12" t="s">
        <v>4</v>
      </c>
      <c r="B16" s="4" t="s">
        <v>6</v>
      </c>
      <c r="C16" s="4">
        <v>2050</v>
      </c>
      <c r="D16" s="5">
        <v>0.05</v>
      </c>
      <c r="E16" s="4">
        <v>0</v>
      </c>
      <c r="F16" s="5">
        <v>0.05</v>
      </c>
      <c r="G16" s="13"/>
    </row>
    <row r="17" spans="1:7" ht="15" thickBot="1" x14ac:dyDescent="0.35">
      <c r="A17" s="14" t="s">
        <v>5</v>
      </c>
      <c r="B17" s="15" t="s">
        <v>6</v>
      </c>
      <c r="C17" s="15">
        <v>2050</v>
      </c>
      <c r="D17" s="16">
        <v>0.4</v>
      </c>
      <c r="E17" s="15">
        <v>0</v>
      </c>
      <c r="F17" s="16">
        <v>0.4</v>
      </c>
      <c r="G17" s="1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4DB57-2506-44CA-9B52-7C8F5D630F8D}">
  <dimension ref="A1:G7"/>
  <sheetViews>
    <sheetView workbookViewId="0">
      <selection activeCell="B11" sqref="B11"/>
    </sheetView>
  </sheetViews>
  <sheetFormatPr defaultRowHeight="14.4" x14ac:dyDescent="0.3"/>
  <cols>
    <col min="1" max="2" width="12.44140625" customWidth="1"/>
    <col min="3" max="3" width="37.77734375" customWidth="1"/>
    <col min="4" max="4" width="16" customWidth="1"/>
    <col min="5" max="5" width="50.109375" customWidth="1"/>
  </cols>
  <sheetData>
    <row r="1" spans="1:7" s="1" customFormat="1" x14ac:dyDescent="0.3">
      <c r="A1" s="1" t="s">
        <v>1</v>
      </c>
      <c r="B1" s="1" t="s">
        <v>14</v>
      </c>
      <c r="C1" s="1" t="s">
        <v>17</v>
      </c>
      <c r="D1" s="1" t="s">
        <v>19</v>
      </c>
      <c r="E1" s="1" t="s">
        <v>21</v>
      </c>
    </row>
    <row r="2" spans="1:7" x14ac:dyDescent="0.3">
      <c r="A2" s="18" t="s">
        <v>11</v>
      </c>
      <c r="B2" s="18">
        <v>3.0099999999999998E-2</v>
      </c>
      <c r="C2" s="18" t="s">
        <v>15</v>
      </c>
    </row>
    <row r="3" spans="1:7" x14ac:dyDescent="0.3">
      <c r="A3" t="s">
        <v>12</v>
      </c>
      <c r="B3">
        <v>2.8799999999999999E-2</v>
      </c>
      <c r="C3" t="s">
        <v>15</v>
      </c>
    </row>
    <row r="4" spans="1:7" x14ac:dyDescent="0.3">
      <c r="A4" t="s">
        <v>13</v>
      </c>
      <c r="B4">
        <v>0.25700000000000001</v>
      </c>
      <c r="C4" t="s">
        <v>16</v>
      </c>
      <c r="E4" t="s">
        <v>22</v>
      </c>
      <c r="F4" t="s">
        <v>4</v>
      </c>
    </row>
    <row r="5" spans="1:7" x14ac:dyDescent="0.3">
      <c r="A5" t="s">
        <v>23</v>
      </c>
      <c r="B5">
        <v>0.72270000000000001</v>
      </c>
      <c r="C5" t="s">
        <v>15</v>
      </c>
      <c r="E5">
        <f>1.53/1000*365</f>
        <v>0.55845</v>
      </c>
      <c r="F5">
        <f>1.98/1000*365</f>
        <v>0.72270000000000001</v>
      </c>
      <c r="G5">
        <f>3.15/1000*365</f>
        <v>1.14975</v>
      </c>
    </row>
    <row r="6" spans="1:7" ht="100.8" x14ac:dyDescent="0.3">
      <c r="A6" t="s">
        <v>6</v>
      </c>
      <c r="B6">
        <v>0.18</v>
      </c>
      <c r="C6" t="s">
        <v>15</v>
      </c>
      <c r="D6" s="20" t="s">
        <v>20</v>
      </c>
    </row>
    <row r="7" spans="1:7" x14ac:dyDescent="0.3">
      <c r="A7" s="19" t="s">
        <v>10</v>
      </c>
      <c r="B7" s="19">
        <v>0.1472</v>
      </c>
      <c r="C7" s="19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A9E36-04BB-465E-8149-05BB192D5696}">
  <dimension ref="A1:A2"/>
  <sheetViews>
    <sheetView workbookViewId="0">
      <selection activeCell="A2" sqref="A2"/>
    </sheetView>
  </sheetViews>
  <sheetFormatPr defaultRowHeight="14.4" x14ac:dyDescent="0.3"/>
  <sheetData>
    <row r="1" spans="1:1" x14ac:dyDescent="0.3">
      <c r="A1" s="1" t="s">
        <v>18</v>
      </c>
    </row>
    <row r="2" spans="1:1" x14ac:dyDescent="0.3">
      <c r="A2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share</vt:lpstr>
      <vt:lpstr>intensity</vt:lpstr>
      <vt:lpstr>efchratio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GHILARDI</dc:creator>
  <cp:lastModifiedBy>ADRIAN GHILARDI</cp:lastModifiedBy>
  <dcterms:created xsi:type="dcterms:W3CDTF">2025-11-22T10:02:52Z</dcterms:created>
  <dcterms:modified xsi:type="dcterms:W3CDTF">2025-12-05T15:11:09Z</dcterms:modified>
</cp:coreProperties>
</file>